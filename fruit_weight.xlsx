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ruitProject\"/>
    </mc:Choice>
  </mc:AlternateContent>
  <xr:revisionPtr revIDLastSave="0" documentId="13_ncr:1_{DFA2E0C6-D995-4EA5-A313-E311B97B4E6D}" xr6:coauthVersionLast="47" xr6:coauthVersionMax="47" xr10:uidLastSave="{00000000-0000-0000-0000-000000000000}"/>
  <bookViews>
    <workbookView xWindow="-108" yWindow="-108" windowWidth="23256" windowHeight="12456" xr2:uid="{E3B342BE-61BE-4864-B56F-E84F81B57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7" i="1"/>
  <c r="G5" i="1"/>
  <c r="G3" i="1"/>
  <c r="F9" i="1"/>
  <c r="F7" i="1"/>
  <c r="F5" i="1"/>
  <c r="F3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<sst xmlns="http://schemas.openxmlformats.org/spreadsheetml/2006/main" count="43" uniqueCount="29">
  <si>
    <t>ผลไม้</t>
  </si>
  <si>
    <t>day 0</t>
  </si>
  <si>
    <t>%weightloss</t>
  </si>
  <si>
    <t>ฝรั่ง</t>
  </si>
  <si>
    <t>แอปเปิล</t>
  </si>
  <si>
    <t>สาลี่</t>
  </si>
  <si>
    <t>มะเขือเทศ</t>
  </si>
  <si>
    <t>✖</t>
  </si>
  <si>
    <t>✔</t>
  </si>
  <si>
    <t>สารเคลือบ</t>
  </si>
  <si>
    <t>Weight(g)</t>
  </si>
  <si>
    <t>day14</t>
  </si>
  <si>
    <t>%ชะลอ</t>
  </si>
  <si>
    <t>เท่าชะลอ</t>
  </si>
  <si>
    <t>สรุป</t>
  </si>
  <si>
    <t>เปรียบเทียบ</t>
  </si>
  <si>
    <t>น้ำหนัก</t>
  </si>
  <si>
    <t>ควบคุม</t>
  </si>
  <si>
    <t>น้ำหนักของ</t>
  </si>
  <si>
    <r>
      <t>เคลือบ</t>
    </r>
    <r>
      <rPr>
        <sz val="9"/>
        <color rgb="FFFF0000"/>
        <rFont val="Calibri"/>
        <family val="2"/>
        <scheme val="minor"/>
      </rPr>
      <t>vs</t>
    </r>
    <r>
      <rPr>
        <sz val="9"/>
        <color theme="1"/>
        <rFont val="Calibri"/>
        <family val="2"/>
        <scheme val="minor"/>
      </rPr>
      <t>ไม่</t>
    </r>
  </si>
  <si>
    <t>น้ำหนักผลไม้</t>
  </si>
  <si>
    <t>ให้ใกล้เคียงกัน</t>
  </si>
  <si>
    <t>ในวันที่14</t>
  </si>
  <si>
    <t>(day0-day14)</t>
  </si>
  <si>
    <t>/day0*100</t>
  </si>
  <si>
    <t>การเสียน้ำหนัก</t>
  </si>
  <si>
    <t>และ เคลือบ</t>
  </si>
  <si>
    <r>
      <t>ผล</t>
    </r>
    <r>
      <rPr>
        <sz val="7"/>
        <color rgb="FFFF0000"/>
        <rFont val="Calibri"/>
        <family val="2"/>
        <scheme val="minor"/>
      </rPr>
      <t>หาร</t>
    </r>
    <r>
      <rPr>
        <sz val="7"/>
        <color theme="1"/>
        <rFont val="Calibri"/>
        <family val="2"/>
        <scheme val="minor"/>
      </rPr>
      <t>ไม่เคลือบ</t>
    </r>
  </si>
  <si>
    <r>
      <t>ผล</t>
    </r>
    <r>
      <rPr>
        <sz val="7"/>
        <color rgb="FFFF0000"/>
        <rFont val="Calibri"/>
        <family val="2"/>
        <scheme val="minor"/>
      </rPr>
      <t>ต่าง</t>
    </r>
    <r>
      <rPr>
        <sz val="7"/>
        <color theme="1"/>
        <rFont val="Calibri"/>
        <family val="2"/>
        <scheme val="minor"/>
      </rPr>
      <t>ไม่เคลือบ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</si>
</sst>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sz val="11"/>
      <color theme="9"/>
      <name val="Calibri"/>
      <family val="2"/>
      <charset val="222"/>
      <scheme val="minor"/>
    </font>
    <font>
      <sz val="9"/>
      <color theme="1"/>
      <name val="Calibri"/>
      <family val="2"/>
      <charset val="222"/>
      <scheme val="minor"/>
    </font>
    <font>
      <sz val="9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2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5" fillId="6" borderId="0" xfId="0" applyFont="1" applyFill="1"/>
    <xf numFmtId="0" fontId="5" fillId="10" borderId="0" xfId="0" applyFont="1" applyFill="1"/>
    <xf numFmtId="0" fontId="5" fillId="5" borderId="0" xfId="0" applyFont="1" applyFill="1" applyAlignment="1">
      <alignment horizontal="center"/>
    </xf>
    <xf numFmtId="0" fontId="5" fillId="3" borderId="0" xfId="0" applyFont="1" applyFill="1"/>
    <xf numFmtId="0" fontId="5" fillId="12" borderId="0" xfId="0" applyFont="1" applyFill="1" applyAlignment="1">
      <alignment horizontal="center"/>
    </xf>
    <xf numFmtId="0" fontId="5" fillId="11" borderId="0" xfId="0" applyFont="1" applyFill="1" applyAlignment="1">
      <alignment horizontal="center"/>
    </xf>
    <xf numFmtId="0" fontId="5" fillId="0" borderId="0" xfId="0" applyFont="1" applyFill="1" applyAlignment="1"/>
    <xf numFmtId="0" fontId="5" fillId="10" borderId="0" xfId="0" applyFont="1" applyFill="1" applyAlignment="1">
      <alignment horizontal="center"/>
    </xf>
    <xf numFmtId="0" fontId="5" fillId="2" borderId="0" xfId="0" applyFont="1" applyFill="1"/>
    <xf numFmtId="0" fontId="5" fillId="0" borderId="0" xfId="0" applyFont="1" applyFill="1"/>
    <xf numFmtId="0" fontId="6" fillId="4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  <xf numFmtId="0" fontId="3" fillId="13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0" fillId="0" borderId="0" xfId="0" applyAlignment="1"/>
    <xf numFmtId="0" fontId="5" fillId="14" borderId="0" xfId="0" applyFont="1" applyFill="1" applyAlignment="1">
      <alignment horizontal="center"/>
    </xf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CCCC"/>
      <color rgb="FFFFE7FF"/>
      <color rgb="FFFF9999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A206-2BC7-444F-8BCB-010B96C21915}">
  <dimension ref="A1:U15"/>
  <sheetViews>
    <sheetView tabSelected="1" workbookViewId="0">
      <selection activeCell="L18" sqref="L18"/>
    </sheetView>
  </sheetViews>
  <sheetFormatPr defaultRowHeight="14.4"/>
  <sheetData>
    <row r="1" spans="1:21">
      <c r="A1" s="9"/>
      <c r="B1" s="10"/>
      <c r="C1" s="11" t="s">
        <v>10</v>
      </c>
      <c r="D1" s="11"/>
      <c r="E1" s="12"/>
      <c r="F1" s="13" t="s">
        <v>12</v>
      </c>
      <c r="G1" s="14" t="s">
        <v>13</v>
      </c>
      <c r="H1" s="15"/>
      <c r="I1" s="5"/>
      <c r="J1" s="5"/>
      <c r="K1" s="5"/>
      <c r="L1" s="5"/>
      <c r="M1" s="5"/>
      <c r="N1" s="5"/>
      <c r="O1" s="5"/>
      <c r="P1" s="5"/>
      <c r="Q1" s="5"/>
      <c r="R1" s="4"/>
    </row>
    <row r="2" spans="1:21">
      <c r="A2" s="9" t="s">
        <v>0</v>
      </c>
      <c r="B2" s="16" t="s">
        <v>9</v>
      </c>
      <c r="C2" s="17" t="s">
        <v>1</v>
      </c>
      <c r="D2" s="17" t="s">
        <v>11</v>
      </c>
      <c r="E2" s="12" t="s">
        <v>2</v>
      </c>
      <c r="F2" s="13"/>
      <c r="G2" s="14"/>
      <c r="H2" s="18"/>
      <c r="I2" s="4"/>
      <c r="J2" s="4"/>
      <c r="K2" s="4"/>
      <c r="L2" s="4"/>
      <c r="M2" s="4"/>
      <c r="N2" s="4"/>
      <c r="O2" s="4"/>
      <c r="P2" s="4"/>
      <c r="Q2" s="4"/>
      <c r="R2" s="4"/>
    </row>
    <row r="3" spans="1:21">
      <c r="A3" s="1" t="s">
        <v>3</v>
      </c>
      <c r="B3" s="6" t="s">
        <v>8</v>
      </c>
      <c r="C3">
        <v>243.93</v>
      </c>
      <c r="D3">
        <v>231.73</v>
      </c>
      <c r="E3" s="2">
        <f>(C3-D3)/C3*100</f>
        <v>5.0014348378633287</v>
      </c>
      <c r="F3" s="3">
        <f>E4-E3</f>
        <v>2.0389926166606918</v>
      </c>
      <c r="G3" s="3">
        <f>E4/E3</f>
        <v>1.4076815319524933</v>
      </c>
      <c r="R3" s="4"/>
    </row>
    <row r="4" spans="1:21">
      <c r="A4" s="1" t="s">
        <v>3</v>
      </c>
      <c r="B4" s="7" t="s">
        <v>7</v>
      </c>
      <c r="C4">
        <v>254.53</v>
      </c>
      <c r="D4">
        <v>236.61</v>
      </c>
      <c r="E4" s="2">
        <f>(C4-D4)/C4*100</f>
        <v>7.0404274545240204</v>
      </c>
      <c r="F4" s="3"/>
      <c r="G4" s="3"/>
      <c r="R4" s="4"/>
    </row>
    <row r="5" spans="1:21">
      <c r="A5" s="1" t="s">
        <v>4</v>
      </c>
      <c r="B5" s="6" t="s">
        <v>8</v>
      </c>
      <c r="C5">
        <v>160.33000000000001</v>
      </c>
      <c r="D5">
        <v>159.44</v>
      </c>
      <c r="E5" s="2">
        <f>(C5-D5)/C5*100</f>
        <v>0.5551050957400453</v>
      </c>
      <c r="F5" s="3">
        <f>E6-E5</f>
        <v>0.94614594679540309</v>
      </c>
      <c r="G5" s="3">
        <f>E6/E5</f>
        <v>2.7044447151652191</v>
      </c>
      <c r="R5" s="4"/>
    </row>
    <row r="6" spans="1:21">
      <c r="A6" s="1" t="s">
        <v>4</v>
      </c>
      <c r="B6" s="7" t="s">
        <v>7</v>
      </c>
      <c r="C6">
        <v>155.87</v>
      </c>
      <c r="D6">
        <v>153.53</v>
      </c>
      <c r="E6" s="2">
        <f>(C6-D6)/C6*100</f>
        <v>1.5012510425354484</v>
      </c>
      <c r="F6" s="3"/>
      <c r="G6" s="3"/>
      <c r="R6" s="4"/>
    </row>
    <row r="7" spans="1:21">
      <c r="A7" s="1" t="s">
        <v>5</v>
      </c>
      <c r="B7" s="6" t="s">
        <v>8</v>
      </c>
      <c r="C7">
        <v>410.99</v>
      </c>
      <c r="D7">
        <v>408.94</v>
      </c>
      <c r="E7" s="2">
        <f>(C7-D7)/C7*100</f>
        <v>0.49879559113360694</v>
      </c>
      <c r="F7" s="3">
        <f>E8-E7</f>
        <v>1.5015689399882444</v>
      </c>
      <c r="G7" s="3">
        <f>E8/E7</f>
        <v>4.0103893592476352</v>
      </c>
      <c r="R7" s="4"/>
    </row>
    <row r="8" spans="1:21">
      <c r="A8" s="1" t="s">
        <v>5</v>
      </c>
      <c r="B8" s="7" t="s">
        <v>7</v>
      </c>
      <c r="C8">
        <v>438.92</v>
      </c>
      <c r="D8">
        <v>430.14</v>
      </c>
      <c r="E8" s="2">
        <f>(C8-D8)/C8*100</f>
        <v>2.0003645311218512</v>
      </c>
      <c r="F8" s="3"/>
      <c r="G8" s="3"/>
      <c r="R8" s="4"/>
    </row>
    <row r="9" spans="1:21">
      <c r="A9" s="1" t="s">
        <v>6</v>
      </c>
      <c r="B9" s="6" t="s">
        <v>8</v>
      </c>
      <c r="C9">
        <v>11.12</v>
      </c>
      <c r="D9">
        <v>10.95</v>
      </c>
      <c r="E9" s="2">
        <f>(C9-D9)/C9*100</f>
        <v>1.5287769784172658</v>
      </c>
      <c r="F9" s="3">
        <f>E10-E9</f>
        <v>1.5041519643903574</v>
      </c>
      <c r="G9" s="3">
        <f>E10/E9</f>
        <v>1.9838923437659282</v>
      </c>
      <c r="R9" s="4"/>
    </row>
    <row r="10" spans="1:21">
      <c r="A10" s="1" t="s">
        <v>6</v>
      </c>
      <c r="B10" s="7" t="s">
        <v>7</v>
      </c>
      <c r="C10">
        <v>11.54</v>
      </c>
      <c r="D10">
        <v>11.19</v>
      </c>
      <c r="E10" s="2">
        <f>(C10-D10)/C10*100</f>
        <v>3.0329289428076232</v>
      </c>
      <c r="F10" s="3"/>
      <c r="G10" s="3"/>
      <c r="R10" s="4"/>
    </row>
    <row r="11" spans="1:21">
      <c r="A11" s="24" t="s">
        <v>14</v>
      </c>
      <c r="B11" s="19" t="s">
        <v>15</v>
      </c>
      <c r="C11" s="8" t="s">
        <v>17</v>
      </c>
      <c r="D11" s="8" t="s">
        <v>16</v>
      </c>
      <c r="E11" s="20" t="s">
        <v>23</v>
      </c>
      <c r="F11" s="20" t="s">
        <v>2</v>
      </c>
      <c r="G11" s="20" t="s">
        <v>2</v>
      </c>
    </row>
    <row r="12" spans="1:21">
      <c r="A12" s="25"/>
      <c r="B12" s="19" t="s">
        <v>18</v>
      </c>
      <c r="C12" s="8" t="s">
        <v>20</v>
      </c>
      <c r="D12" s="8" t="s">
        <v>0</v>
      </c>
      <c r="E12" s="21" t="s">
        <v>24</v>
      </c>
      <c r="F12" s="22" t="s">
        <v>28</v>
      </c>
      <c r="G12" s="22" t="s">
        <v>27</v>
      </c>
    </row>
    <row r="13" spans="1:21">
      <c r="A13" s="25"/>
      <c r="B13" s="19" t="s">
        <v>19</v>
      </c>
      <c r="C13" s="8" t="s">
        <v>21</v>
      </c>
      <c r="D13" s="8" t="s">
        <v>22</v>
      </c>
      <c r="E13" s="20" t="s">
        <v>25</v>
      </c>
      <c r="F13" s="20" t="s">
        <v>26</v>
      </c>
      <c r="G13" s="20" t="s">
        <v>26</v>
      </c>
    </row>
    <row r="15" spans="1:21"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</sheetData>
  <mergeCells count="11">
    <mergeCell ref="C1:D1"/>
    <mergeCell ref="F1:F2"/>
    <mergeCell ref="G1:G2"/>
    <mergeCell ref="F3:F4"/>
    <mergeCell ref="G3:G4"/>
    <mergeCell ref="F5:F6"/>
    <mergeCell ref="F7:F8"/>
    <mergeCell ref="F9:F10"/>
    <mergeCell ref="G7:G8"/>
    <mergeCell ref="G5:G6"/>
    <mergeCell ref="G9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พิสุทธิ์ บวรชัย</dc:creator>
  <cp:lastModifiedBy>พิสุทธิ์ บวรชัย</cp:lastModifiedBy>
  <dcterms:created xsi:type="dcterms:W3CDTF">2026-09-10T02:47:40Z</dcterms:created>
  <dcterms:modified xsi:type="dcterms:W3CDTF">2026-09-26T09:16:17Z</dcterms:modified>
</cp:coreProperties>
</file>